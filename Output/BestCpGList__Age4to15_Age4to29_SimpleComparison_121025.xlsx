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onedRepositories\Otobots\Output\"/>
    </mc:Choice>
  </mc:AlternateContent>
  <xr:revisionPtr revIDLastSave="0" documentId="13_ncr:9_{1D19263C-57B4-48A1-81D4-38505E88C5AA}" xr6:coauthVersionLast="47" xr6:coauthVersionMax="47" xr10:uidLastSave="{00000000-0000-0000-0000-000000000000}"/>
  <bookViews>
    <workbookView xWindow="-120" yWindow="-120" windowWidth="29040" windowHeight="15720" xr2:uid="{35F39DF9-E6DE-476A-BE7B-2F773571A8DA}"/>
  </bookViews>
  <sheets>
    <sheet name="CpGList_LengthAge_Age4to15_1210" sheetId="1" r:id="rId1"/>
  </sheets>
  <definedNames>
    <definedName name="_xlnm._FilterDatabase" localSheetId="0" hidden="1">CpGList_LengthAge_Age4to15_1210!$A$1:$C$99</definedName>
  </definedNames>
  <calcPr calcId="0"/>
</workbook>
</file>

<file path=xl/calcChain.xml><?xml version="1.0" encoding="utf-8"?>
<calcChain xmlns="http://schemas.openxmlformats.org/spreadsheetml/2006/main">
  <c r="D25" i="1" l="1"/>
  <c r="D26" i="1"/>
  <c r="D27" i="1"/>
  <c r="D28" i="1"/>
  <c r="D29" i="1"/>
  <c r="D30" i="1"/>
  <c r="D31" i="1"/>
  <c r="D32" i="1"/>
  <c r="D33" i="1"/>
  <c r="D34" i="1"/>
  <c r="D35" i="1"/>
  <c r="D36" i="1"/>
  <c r="D38" i="1"/>
  <c r="D39" i="1"/>
  <c r="D40" i="1"/>
  <c r="D41" i="1"/>
  <c r="D42" i="1"/>
  <c r="D43" i="1"/>
  <c r="D44" i="1"/>
  <c r="D46" i="1"/>
  <c r="D47" i="1"/>
  <c r="D50" i="1"/>
  <c r="D51" i="1"/>
  <c r="D52" i="1"/>
  <c r="D53" i="1"/>
  <c r="D54" i="1"/>
  <c r="D57" i="1"/>
  <c r="D58" i="1"/>
  <c r="D59" i="1"/>
  <c r="D60" i="1"/>
  <c r="D61" i="1"/>
  <c r="D62" i="1"/>
  <c r="D63" i="1"/>
  <c r="D67" i="1"/>
  <c r="D68" i="1"/>
  <c r="D69" i="1"/>
  <c r="D70" i="1"/>
  <c r="D71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1" i="1"/>
  <c r="D92" i="1"/>
  <c r="D93" i="1"/>
  <c r="D94" i="1"/>
  <c r="D95" i="1"/>
  <c r="D96" i="1"/>
  <c r="D97" i="1"/>
  <c r="D98" i="1"/>
  <c r="D99" i="1"/>
  <c r="D18" i="1"/>
  <c r="D19" i="1"/>
  <c r="D20" i="1"/>
  <c r="D21" i="1"/>
  <c r="D22" i="1"/>
  <c r="D23" i="1"/>
  <c r="D17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3" i="1"/>
  <c r="K4" i="1"/>
  <c r="K5" i="1"/>
  <c r="K6" i="1"/>
  <c r="K7" i="1"/>
  <c r="K8" i="1"/>
  <c r="K9" i="1"/>
  <c r="K10" i="1"/>
  <c r="K11" i="1"/>
  <c r="K12" i="1"/>
  <c r="K13" i="1"/>
  <c r="K14" i="1"/>
  <c r="K16" i="1"/>
  <c r="K18" i="1"/>
  <c r="K19" i="1"/>
  <c r="K20" i="1"/>
  <c r="K21" i="1"/>
  <c r="K22" i="1"/>
  <c r="K23" i="1"/>
  <c r="K24" i="1"/>
  <c r="K25" i="1"/>
  <c r="K26" i="1"/>
  <c r="K27" i="1"/>
  <c r="K28" i="1"/>
  <c r="K29" i="1"/>
  <c r="K31" i="1"/>
  <c r="K32" i="1"/>
  <c r="K33" i="1"/>
  <c r="K34" i="1"/>
  <c r="K35" i="1"/>
  <c r="K36" i="1"/>
  <c r="K37" i="1"/>
  <c r="K38" i="1"/>
  <c r="K39" i="1"/>
  <c r="K40" i="1"/>
  <c r="K41" i="1"/>
  <c r="K44" i="1"/>
  <c r="K45" i="1"/>
  <c r="K47" i="1"/>
  <c r="K50" i="1"/>
  <c r="K51" i="1"/>
  <c r="K53" i="1"/>
  <c r="K55" i="1"/>
  <c r="K57" i="1"/>
  <c r="K58" i="1"/>
  <c r="K59" i="1"/>
  <c r="K61" i="1"/>
  <c r="K62" i="1"/>
  <c r="K63" i="1"/>
  <c r="K64" i="1"/>
  <c r="K65" i="1"/>
  <c r="K66" i="1"/>
  <c r="K67" i="1"/>
  <c r="K68" i="1"/>
  <c r="K69" i="1"/>
  <c r="K70" i="1"/>
  <c r="K72" i="1"/>
  <c r="K73" i="1"/>
  <c r="K74" i="1"/>
  <c r="K75" i="1"/>
  <c r="K76" i="1"/>
  <c r="K77" i="1"/>
  <c r="K78" i="1"/>
  <c r="K3" i="1"/>
</calcChain>
</file>

<file path=xl/sharedStrings.xml><?xml version="1.0" encoding="utf-8"?>
<sst xmlns="http://schemas.openxmlformats.org/spreadsheetml/2006/main" count="358" uniqueCount="179">
  <si>
    <t>NC_047151.1.15471</t>
  </si>
  <si>
    <t>NC_047163.1.29070020</t>
  </si>
  <si>
    <t>NC_047153.1.32669800</t>
  </si>
  <si>
    <t>NC_047153.1.32663340</t>
  </si>
  <si>
    <t>NC_047151.1.9078</t>
  </si>
  <si>
    <t>NC_047151.1.10551</t>
  </si>
  <si>
    <t>NC_047151.1.5724</t>
  </si>
  <si>
    <t>NC_047155.1.30745713</t>
  </si>
  <si>
    <t>NC_047159.1.29166056</t>
  </si>
  <si>
    <t>NC_047164.1.24801420</t>
  </si>
  <si>
    <t>NC_047155.1.30745807</t>
  </si>
  <si>
    <t>NC_047153.1.32666785</t>
  </si>
  <si>
    <t>NC_047151.1.4742</t>
  </si>
  <si>
    <t>NC_047163.1.21495116</t>
  </si>
  <si>
    <t>NC_047151.1.14473</t>
  </si>
  <si>
    <t>NC_047155.1.30744495</t>
  </si>
  <si>
    <t>NC_047153.1.32673737</t>
  </si>
  <si>
    <t>NC_047172.1.24804623</t>
  </si>
  <si>
    <t>NC_047153.1.32663347</t>
  </si>
  <si>
    <t>NC_047174.1.21430655</t>
  </si>
  <si>
    <t>NC_047151.1.2730</t>
  </si>
  <si>
    <t>NC_047167.1.11015458</t>
  </si>
  <si>
    <t>NC_047172.1.26306357</t>
  </si>
  <si>
    <t>NC_047174.1.21435010</t>
  </si>
  <si>
    <t>NC_047151.1.10785</t>
  </si>
  <si>
    <t>NC_047172.1.26307361</t>
  </si>
  <si>
    <t>NC_047151.1.7401</t>
  </si>
  <si>
    <t>NC_047165.1.908834</t>
  </si>
  <si>
    <t>NC_047165.1.906821</t>
  </si>
  <si>
    <t>NC_047155.1.30745806</t>
  </si>
  <si>
    <t>NC_047151.1.2369</t>
  </si>
  <si>
    <t>NC_047151.1.6754</t>
  </si>
  <si>
    <t>NC_047163.1.29069872</t>
  </si>
  <si>
    <t>NC_047174.1.21434992</t>
  </si>
  <si>
    <t>NC_047165.1.906817</t>
  </si>
  <si>
    <t>NC_047172.1.26290162</t>
  </si>
  <si>
    <t>NC_047153.1.32668700</t>
  </si>
  <si>
    <t>NC_047172.1.26303344</t>
  </si>
  <si>
    <t>NC_047172.1.26299324</t>
  </si>
  <si>
    <t>NC_047155.1.30749282</t>
  </si>
  <si>
    <t>NC_047171.1.25040373</t>
  </si>
  <si>
    <t>NC_047172.1.26290161</t>
  </si>
  <si>
    <t>NC_047174.1.21435011</t>
  </si>
  <si>
    <t>NC_047172.1.24895667</t>
  </si>
  <si>
    <t>NC_047174.1.21435056</t>
  </si>
  <si>
    <t>NC_047171.1.15409738</t>
  </si>
  <si>
    <t>NC_047172.1.26311042</t>
  </si>
  <si>
    <t>NC_047172.1.26305360</t>
  </si>
  <si>
    <t>NC_047151.1.45</t>
  </si>
  <si>
    <t>NC_047151.1.15136</t>
  </si>
  <si>
    <t>NC_047151.1.7433</t>
  </si>
  <si>
    <t>NC_047165.1.912498</t>
  </si>
  <si>
    <t>NC_047172.1.26305026</t>
  </si>
  <si>
    <t>NC_047151.1.9415</t>
  </si>
  <si>
    <t>NC_047152.1.1306</t>
  </si>
  <si>
    <t>NC_047171.1.15408463</t>
  </si>
  <si>
    <t>NC_047174.1.21427009</t>
  </si>
  <si>
    <t>NC_047153.1.32664060</t>
  </si>
  <si>
    <t>NC_047163.1.29066999</t>
  </si>
  <si>
    <t>NC_047151.1.13780</t>
  </si>
  <si>
    <t>NC_047153.1.32672745</t>
  </si>
  <si>
    <t>NC_047168.1.480431</t>
  </si>
  <si>
    <t>NC_047153.1.32671095</t>
  </si>
  <si>
    <t>NC_047155.1.30750956</t>
  </si>
  <si>
    <t>NC_047174.1.21423903</t>
  </si>
  <si>
    <t>NC_047172.1.26309369</t>
  </si>
  <si>
    <t>NC_047174.1.21435055</t>
  </si>
  <si>
    <t>NC_047172.1.26306691</t>
  </si>
  <si>
    <t>NC_047174.1.21431627</t>
  </si>
  <si>
    <t>NC_047165.1.15411905</t>
  </si>
  <si>
    <t>NC_047153.1.32669799</t>
  </si>
  <si>
    <t>NC_047174.1.21421469</t>
  </si>
  <si>
    <t>NC_047163.1.29031803</t>
  </si>
  <si>
    <t>NC_047151.1.51</t>
  </si>
  <si>
    <t>NC_047152.1.11751</t>
  </si>
  <si>
    <t>NC_047172.1.26301048</t>
  </si>
  <si>
    <t>NC_047159.1.29165763</t>
  </si>
  <si>
    <t>NC_047151.1.9128946</t>
  </si>
  <si>
    <t>NC_047165.1.15411811</t>
  </si>
  <si>
    <t>NC_047172.1.24835778</t>
  </si>
  <si>
    <t>NC_047161.1.22178599</t>
  </si>
  <si>
    <t>NC_047165.1.15408994</t>
  </si>
  <si>
    <t>NC_047155.1.30747622</t>
  </si>
  <si>
    <t>NC_047151.1.3712</t>
  </si>
  <si>
    <t>NC_047151.1.3735</t>
  </si>
  <si>
    <t>NC_047165.1.912711</t>
  </si>
  <si>
    <t>NC_047171.1.25040623</t>
  </si>
  <si>
    <t>NC_047172.1.26289238</t>
  </si>
  <si>
    <t>NC_047151.1.2736</t>
  </si>
  <si>
    <t>NC_047171.1.2287136</t>
  </si>
  <si>
    <t>NC_047171.1.25040474</t>
  </si>
  <si>
    <t>NC_047151.1.12095</t>
  </si>
  <si>
    <t>NC_047153.1.32669737</t>
  </si>
  <si>
    <t>NC_047155.1.30749276</t>
  </si>
  <si>
    <t>NC_047159.1.29162690</t>
  </si>
  <si>
    <t>NC_047172.1.26294605</t>
  </si>
  <si>
    <t>NC_047163.1.29069978</t>
  </si>
  <si>
    <t>NC_047172.1.26311377</t>
  </si>
  <si>
    <t>CpGlist_best_Age4to15</t>
  </si>
  <si>
    <t>NC_047152.1.5986</t>
  </si>
  <si>
    <t>NC_047151.1.11792</t>
  </si>
  <si>
    <t>NC_047172.1.26293714</t>
  </si>
  <si>
    <t>NC_047170.1.1470</t>
  </si>
  <si>
    <t>NC_047155.1.30751619</t>
  </si>
  <si>
    <t>NC_047172.1.26303009</t>
  </si>
  <si>
    <t>NC_047169.1.16885311</t>
  </si>
  <si>
    <t>NC_047155.1.30750614</t>
  </si>
  <si>
    <t>NC_047174.1.21431948</t>
  </si>
  <si>
    <t>NC_047153.1.32670710</t>
  </si>
  <si>
    <t>NC_047172.1.26308364</t>
  </si>
  <si>
    <t>NC_047161.1.22201614</t>
  </si>
  <si>
    <t>NC_047170.1.1435</t>
  </si>
  <si>
    <t>NC_047155.1.30747359</t>
  </si>
  <si>
    <t>NC_047163.1.18713047</t>
  </si>
  <si>
    <t>NC_047172.1.26293982</t>
  </si>
  <si>
    <t>NC_047172.1.26294006</t>
  </si>
  <si>
    <t>NC_047165.1.910853</t>
  </si>
  <si>
    <t>NC_047155.1.24555900</t>
  </si>
  <si>
    <t>NC_047170.1.1540</t>
  </si>
  <si>
    <t>NC_047155.1.30748169</t>
  </si>
  <si>
    <t>NC_047155.1.30748605</t>
  </si>
  <si>
    <t>NC_047159.1.29170063</t>
  </si>
  <si>
    <t>NC_047151.1.6425</t>
  </si>
  <si>
    <t>NC_047170.1.1363</t>
  </si>
  <si>
    <t>NC_047151.1.9880</t>
  </si>
  <si>
    <t>NC_047172.1.26305253</t>
  </si>
  <si>
    <t>NC_047155.1.30751668</t>
  </si>
  <si>
    <t>NC_047151.1.13802</t>
  </si>
  <si>
    <t>NC_047153.1.32666356</t>
  </si>
  <si>
    <t>NC_047155.1.30740795</t>
  </si>
  <si>
    <t>NC_047157.1.604941</t>
  </si>
  <si>
    <t>NC_047153.1.32673649</t>
  </si>
  <si>
    <t>NC_047155.1.30744502</t>
  </si>
  <si>
    <t>NC_047153.1.32668125</t>
  </si>
  <si>
    <t>NC_047165.1.15412428</t>
  </si>
  <si>
    <t>NC_047174.1.21425138</t>
  </si>
  <si>
    <t>NC_047153.1.32668795</t>
  </si>
  <si>
    <t>NC_047164.1.2171813</t>
  </si>
  <si>
    <t>NC_047174.1.21428354</t>
  </si>
  <si>
    <t>NC_047172.1.26300378</t>
  </si>
  <si>
    <t>NC_047153.1.32666836</t>
  </si>
  <si>
    <t>NC_047164.1.2171775</t>
  </si>
  <si>
    <t>NC_047151.1.26569</t>
  </si>
  <si>
    <t>NC_047174.1.21422892</t>
  </si>
  <si>
    <t>NC_047161.1.22177668</t>
  </si>
  <si>
    <t>NC_047151.1.1394</t>
  </si>
  <si>
    <t>NC_047159.1.29159906</t>
  </si>
  <si>
    <t>NC_047153.1.31186743</t>
  </si>
  <si>
    <t>NC_047155.1.30748991</t>
  </si>
  <si>
    <t>NC_047159.1.29160008</t>
  </si>
  <si>
    <t>NC_047153.1.32668366</t>
  </si>
  <si>
    <t>NC_047153.1.32667695</t>
  </si>
  <si>
    <t>NC_047155.1.30750514</t>
  </si>
  <si>
    <t>NC_047151.1.3072</t>
  </si>
  <si>
    <t>NC_047151.1.4413</t>
  </si>
  <si>
    <t>NC_047151.1.936054</t>
  </si>
  <si>
    <t>NC_047172.1.26288943</t>
  </si>
  <si>
    <t>CpGlist_best_Age4to29</t>
  </si>
  <si>
    <t>NC_047151.1</t>
  </si>
  <si>
    <t>NC_047152.1</t>
  </si>
  <si>
    <t>NC_047153.1</t>
  </si>
  <si>
    <t>NC_047155.1</t>
  </si>
  <si>
    <t>NC_047157.1</t>
  </si>
  <si>
    <t>NC_047159.1</t>
  </si>
  <si>
    <t>NC_047161.1</t>
  </si>
  <si>
    <t>NC_047163.1</t>
  </si>
  <si>
    <t>NC_047164.1</t>
  </si>
  <si>
    <t>NC_047165.1</t>
  </si>
  <si>
    <t>NC_047168.1</t>
  </si>
  <si>
    <t>NC_047169.1</t>
  </si>
  <si>
    <t>NC_047170.1</t>
  </si>
  <si>
    <t>NC_047172.1</t>
  </si>
  <si>
    <t>NC_047174.1</t>
  </si>
  <si>
    <t>CHROM</t>
  </si>
  <si>
    <t>POS</t>
  </si>
  <si>
    <t>NC_047167.1</t>
  </si>
  <si>
    <t>NC_047171.1</t>
  </si>
  <si>
    <t>diff</t>
  </si>
  <si>
    <t>diff_prev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</si>
</sst>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98AA5-C36D-4616-A278-DCCF74A42D31}">
  <dimension ref="A1:Q100"/>
  <sheetViews>
    <sheetView tabSelected="1" topLeftCell="A56" workbookViewId="0">
      <selection activeCell="L76" sqref="L76"/>
    </sheetView>
  </sheetViews>
  <sheetFormatPr defaultRowHeight="15" x14ac:dyDescent="0.25"/>
  <cols>
    <col min="1" max="2" width="20.85546875" bestFit="1" customWidth="1"/>
    <col min="5" max="5" width="11.5703125" bestFit="1" customWidth="1"/>
    <col min="6" max="6" width="15.140625" bestFit="1" customWidth="1"/>
    <col min="8" max="9" width="20.85546875" bestFit="1" customWidth="1"/>
    <col min="12" max="12" width="11.5703125" bestFit="1" customWidth="1"/>
    <col min="13" max="13" width="15.140625" bestFit="1" customWidth="1"/>
    <col min="14" max="14" width="12.42578125" customWidth="1"/>
    <col min="15" max="15" width="15" customWidth="1"/>
    <col min="16" max="16" width="13.140625" customWidth="1"/>
    <col min="17" max="17" width="11.42578125" customWidth="1"/>
  </cols>
  <sheetData>
    <row r="1" spans="1:17" x14ac:dyDescent="0.25">
      <c r="A1" s="3" t="s">
        <v>98</v>
      </c>
      <c r="B1" s="3" t="s">
        <v>173</v>
      </c>
      <c r="C1" s="3" t="s">
        <v>174</v>
      </c>
      <c r="D1" s="3" t="s">
        <v>178</v>
      </c>
      <c r="H1" s="3" t="s">
        <v>157</v>
      </c>
      <c r="I1" s="3" t="s">
        <v>173</v>
      </c>
      <c r="J1" s="3" t="s">
        <v>174</v>
      </c>
      <c r="K1" s="3" t="s">
        <v>177</v>
      </c>
      <c r="O1" s="1"/>
      <c r="P1" s="1"/>
      <c r="Q1" s="1"/>
    </row>
    <row r="2" spans="1:17" x14ac:dyDescent="0.25">
      <c r="A2" s="3" t="s">
        <v>48</v>
      </c>
      <c r="B2" s="3" t="s">
        <v>158</v>
      </c>
      <c r="C2" s="3">
        <v>45</v>
      </c>
      <c r="D2" s="3"/>
      <c r="H2" s="3" t="s">
        <v>73</v>
      </c>
      <c r="I2" s="3" t="s">
        <v>158</v>
      </c>
      <c r="J2" s="3">
        <v>51</v>
      </c>
      <c r="K2" s="3"/>
    </row>
    <row r="3" spans="1:17" x14ac:dyDescent="0.25">
      <c r="A3" s="3" t="s">
        <v>73</v>
      </c>
      <c r="B3" s="3" t="s">
        <v>158</v>
      </c>
      <c r="C3" s="3">
        <v>51</v>
      </c>
      <c r="D3" s="3">
        <f>C3-C2</f>
        <v>6</v>
      </c>
      <c r="H3" s="3" t="s">
        <v>145</v>
      </c>
      <c r="I3" s="3" t="s">
        <v>158</v>
      </c>
      <c r="J3" s="3">
        <v>1394</v>
      </c>
      <c r="K3" s="3">
        <f>J3-J2</f>
        <v>1343</v>
      </c>
    </row>
    <row r="4" spans="1:17" x14ac:dyDescent="0.25">
      <c r="A4" s="3" t="s">
        <v>30</v>
      </c>
      <c r="B4" s="3" t="s">
        <v>158</v>
      </c>
      <c r="C4" s="3">
        <v>2369</v>
      </c>
      <c r="D4" s="3">
        <f>C4-C3</f>
        <v>2318</v>
      </c>
      <c r="H4" s="3" t="s">
        <v>153</v>
      </c>
      <c r="I4" s="3" t="s">
        <v>158</v>
      </c>
      <c r="J4" s="3">
        <v>3072</v>
      </c>
      <c r="K4" s="3">
        <f t="shared" ref="K4:K67" si="0">J4-J3</f>
        <v>1678</v>
      </c>
    </row>
    <row r="5" spans="1:17" x14ac:dyDescent="0.25">
      <c r="A5" s="3" t="s">
        <v>20</v>
      </c>
      <c r="B5" s="3" t="s">
        <v>158</v>
      </c>
      <c r="C5" s="3">
        <v>2730</v>
      </c>
      <c r="D5" s="3">
        <f>C5-C4</f>
        <v>361</v>
      </c>
      <c r="H5" s="3" t="s">
        <v>84</v>
      </c>
      <c r="I5" s="3" t="s">
        <v>158</v>
      </c>
      <c r="J5" s="3">
        <v>3735</v>
      </c>
      <c r="K5" s="3">
        <f t="shared" si="0"/>
        <v>663</v>
      </c>
    </row>
    <row r="6" spans="1:17" x14ac:dyDescent="0.25">
      <c r="A6" s="3" t="s">
        <v>88</v>
      </c>
      <c r="B6" s="3" t="s">
        <v>158</v>
      </c>
      <c r="C6" s="3">
        <v>2736</v>
      </c>
      <c r="D6" s="3">
        <f>C6-C5</f>
        <v>6</v>
      </c>
      <c r="H6" s="3" t="s">
        <v>154</v>
      </c>
      <c r="I6" s="3" t="s">
        <v>158</v>
      </c>
      <c r="J6" s="3">
        <v>4413</v>
      </c>
      <c r="K6" s="3">
        <f t="shared" si="0"/>
        <v>678</v>
      </c>
    </row>
    <row r="7" spans="1:17" x14ac:dyDescent="0.25">
      <c r="A7" s="3" t="s">
        <v>83</v>
      </c>
      <c r="B7" s="3" t="s">
        <v>158</v>
      </c>
      <c r="C7" s="3">
        <v>3712</v>
      </c>
      <c r="D7" s="3">
        <f>C7-C6</f>
        <v>976</v>
      </c>
      <c r="H7" s="3" t="s">
        <v>122</v>
      </c>
      <c r="I7" s="3" t="s">
        <v>158</v>
      </c>
      <c r="J7" s="3">
        <v>6425</v>
      </c>
      <c r="K7" s="3">
        <f t="shared" si="0"/>
        <v>2012</v>
      </c>
    </row>
    <row r="8" spans="1:17" x14ac:dyDescent="0.25">
      <c r="A8" s="3" t="s">
        <v>84</v>
      </c>
      <c r="B8" s="3" t="s">
        <v>158</v>
      </c>
      <c r="C8" s="3">
        <v>3735</v>
      </c>
      <c r="D8" s="3">
        <f>C8-C7</f>
        <v>23</v>
      </c>
      <c r="H8" s="3" t="s">
        <v>124</v>
      </c>
      <c r="I8" s="3" t="s">
        <v>158</v>
      </c>
      <c r="J8" s="3">
        <v>9880</v>
      </c>
      <c r="K8" s="3">
        <f t="shared" si="0"/>
        <v>3455</v>
      </c>
    </row>
    <row r="9" spans="1:17" x14ac:dyDescent="0.25">
      <c r="A9" s="3" t="s">
        <v>12</v>
      </c>
      <c r="B9" s="3" t="s">
        <v>158</v>
      </c>
      <c r="C9" s="3">
        <v>4742</v>
      </c>
      <c r="D9" s="3">
        <f>C9-C8</f>
        <v>1007</v>
      </c>
      <c r="H9" s="3" t="s">
        <v>5</v>
      </c>
      <c r="I9" s="3" t="s">
        <v>158</v>
      </c>
      <c r="J9" s="3">
        <v>10551</v>
      </c>
      <c r="K9" s="3">
        <f t="shared" si="0"/>
        <v>671</v>
      </c>
    </row>
    <row r="10" spans="1:17" x14ac:dyDescent="0.25">
      <c r="A10" s="3" t="s">
        <v>6</v>
      </c>
      <c r="B10" s="3" t="s">
        <v>158</v>
      </c>
      <c r="C10" s="3">
        <v>5724</v>
      </c>
      <c r="D10" s="3">
        <f>C10-C9</f>
        <v>982</v>
      </c>
      <c r="H10" s="3" t="s">
        <v>24</v>
      </c>
      <c r="I10" s="3" t="s">
        <v>158</v>
      </c>
      <c r="J10" s="3">
        <v>10785</v>
      </c>
      <c r="K10" s="3">
        <f t="shared" si="0"/>
        <v>234</v>
      </c>
      <c r="Q10" s="2"/>
    </row>
    <row r="11" spans="1:17" x14ac:dyDescent="0.25">
      <c r="A11" s="3" t="s">
        <v>31</v>
      </c>
      <c r="B11" s="3" t="s">
        <v>158</v>
      </c>
      <c r="C11" s="3">
        <v>6754</v>
      </c>
      <c r="D11" s="3">
        <f>C11-C10</f>
        <v>1030</v>
      </c>
      <c r="H11" s="3" t="s">
        <v>100</v>
      </c>
      <c r="I11" s="3" t="s">
        <v>158</v>
      </c>
      <c r="J11" s="3">
        <v>11792</v>
      </c>
      <c r="K11" s="3">
        <f t="shared" si="0"/>
        <v>1007</v>
      </c>
    </row>
    <row r="12" spans="1:17" x14ac:dyDescent="0.25">
      <c r="A12" s="3" t="s">
        <v>26</v>
      </c>
      <c r="B12" s="3" t="s">
        <v>158</v>
      </c>
      <c r="C12" s="3">
        <v>7401</v>
      </c>
      <c r="D12" s="3">
        <f>C12-C11</f>
        <v>647</v>
      </c>
      <c r="H12" s="3" t="s">
        <v>127</v>
      </c>
      <c r="I12" s="3" t="s">
        <v>158</v>
      </c>
      <c r="J12" s="3">
        <v>13802</v>
      </c>
      <c r="K12" s="3">
        <f t="shared" si="0"/>
        <v>2010</v>
      </c>
    </row>
    <row r="13" spans="1:17" x14ac:dyDescent="0.25">
      <c r="A13" s="3" t="s">
        <v>50</v>
      </c>
      <c r="B13" s="3" t="s">
        <v>158</v>
      </c>
      <c r="C13" s="3">
        <v>7433</v>
      </c>
      <c r="D13" s="3">
        <f>C13-C12</f>
        <v>32</v>
      </c>
      <c r="H13" s="3" t="s">
        <v>142</v>
      </c>
      <c r="I13" s="3" t="s">
        <v>158</v>
      </c>
      <c r="J13" s="3">
        <v>26569</v>
      </c>
      <c r="K13" s="3">
        <f t="shared" si="0"/>
        <v>12767</v>
      </c>
    </row>
    <row r="14" spans="1:17" ht="15.75" thickBot="1" x14ac:dyDescent="0.3">
      <c r="A14" s="3" t="s">
        <v>4</v>
      </c>
      <c r="B14" s="3" t="s">
        <v>158</v>
      </c>
      <c r="C14" s="3">
        <v>9078</v>
      </c>
      <c r="D14" s="3">
        <f>C14-C13</f>
        <v>1645</v>
      </c>
      <c r="H14" s="4" t="s">
        <v>155</v>
      </c>
      <c r="I14" s="4" t="s">
        <v>158</v>
      </c>
      <c r="J14" s="4">
        <v>936054</v>
      </c>
      <c r="K14" s="4">
        <f t="shared" si="0"/>
        <v>909485</v>
      </c>
    </row>
    <row r="15" spans="1:17" ht="15.75" thickTop="1" x14ac:dyDescent="0.25">
      <c r="A15" s="3" t="s">
        <v>53</v>
      </c>
      <c r="B15" s="3" t="s">
        <v>158</v>
      </c>
      <c r="C15" s="3">
        <v>9415</v>
      </c>
      <c r="D15" s="3">
        <f>C15-C14</f>
        <v>337</v>
      </c>
      <c r="H15" s="5" t="s">
        <v>99</v>
      </c>
      <c r="I15" s="5" t="s">
        <v>159</v>
      </c>
      <c r="J15" s="5">
        <v>5986</v>
      </c>
      <c r="K15" s="5"/>
    </row>
    <row r="16" spans="1:17" ht="15.75" thickBot="1" x14ac:dyDescent="0.3">
      <c r="A16" s="3" t="s">
        <v>5</v>
      </c>
      <c r="B16" s="3" t="s">
        <v>158</v>
      </c>
      <c r="C16" s="3">
        <v>10551</v>
      </c>
      <c r="D16" s="3">
        <f>C16-C15</f>
        <v>1136</v>
      </c>
      <c r="H16" s="4" t="s">
        <v>74</v>
      </c>
      <c r="I16" s="4" t="s">
        <v>159</v>
      </c>
      <c r="J16" s="4">
        <v>11751</v>
      </c>
      <c r="K16" s="4">
        <f t="shared" si="0"/>
        <v>5765</v>
      </c>
    </row>
    <row r="17" spans="1:11" ht="15.75" thickTop="1" x14ac:dyDescent="0.25">
      <c r="A17" s="3" t="s">
        <v>24</v>
      </c>
      <c r="B17" s="3" t="s">
        <v>158</v>
      </c>
      <c r="C17" s="3">
        <v>10785</v>
      </c>
      <c r="D17" s="3">
        <f>C17-C16</f>
        <v>234</v>
      </c>
      <c r="H17" s="5" t="s">
        <v>147</v>
      </c>
      <c r="I17" s="5" t="s">
        <v>160</v>
      </c>
      <c r="J17" s="5">
        <v>31186743</v>
      </c>
      <c r="K17" s="5"/>
    </row>
    <row r="18" spans="1:11" x14ac:dyDescent="0.25">
      <c r="A18" s="3" t="s">
        <v>91</v>
      </c>
      <c r="B18" s="3" t="s">
        <v>158</v>
      </c>
      <c r="C18" s="3">
        <v>12095</v>
      </c>
      <c r="D18" s="3">
        <f>C18-C17</f>
        <v>1310</v>
      </c>
      <c r="H18" s="3" t="s">
        <v>57</v>
      </c>
      <c r="I18" s="3" t="s">
        <v>160</v>
      </c>
      <c r="J18" s="3">
        <v>32664060</v>
      </c>
      <c r="K18" s="3">
        <f t="shared" si="0"/>
        <v>1477317</v>
      </c>
    </row>
    <row r="19" spans="1:11" x14ac:dyDescent="0.25">
      <c r="A19" s="3" t="s">
        <v>59</v>
      </c>
      <c r="B19" s="3" t="s">
        <v>158</v>
      </c>
      <c r="C19" s="3">
        <v>13780</v>
      </c>
      <c r="D19" s="3">
        <f>C19-C18</f>
        <v>1685</v>
      </c>
      <c r="H19" s="3" t="s">
        <v>128</v>
      </c>
      <c r="I19" s="3" t="s">
        <v>160</v>
      </c>
      <c r="J19" s="3">
        <v>32666356</v>
      </c>
      <c r="K19" s="3">
        <f t="shared" si="0"/>
        <v>2296</v>
      </c>
    </row>
    <row r="20" spans="1:11" x14ac:dyDescent="0.25">
      <c r="A20" s="3" t="s">
        <v>14</v>
      </c>
      <c r="B20" s="3" t="s">
        <v>158</v>
      </c>
      <c r="C20" s="3">
        <v>14473</v>
      </c>
      <c r="D20" s="3">
        <f>C20-C19</f>
        <v>693</v>
      </c>
      <c r="H20" s="3" t="s">
        <v>11</v>
      </c>
      <c r="I20" s="3" t="s">
        <v>160</v>
      </c>
      <c r="J20" s="3">
        <v>32666785</v>
      </c>
      <c r="K20" s="3">
        <f t="shared" si="0"/>
        <v>429</v>
      </c>
    </row>
    <row r="21" spans="1:11" x14ac:dyDescent="0.25">
      <c r="A21" s="3" t="s">
        <v>49</v>
      </c>
      <c r="B21" s="3" t="s">
        <v>158</v>
      </c>
      <c r="C21" s="3">
        <v>15136</v>
      </c>
      <c r="D21" s="3">
        <f>C21-C20</f>
        <v>663</v>
      </c>
      <c r="H21" s="3" t="s">
        <v>140</v>
      </c>
      <c r="I21" s="3" t="s">
        <v>160</v>
      </c>
      <c r="J21" s="3">
        <v>32666836</v>
      </c>
      <c r="K21" s="3">
        <f t="shared" si="0"/>
        <v>51</v>
      </c>
    </row>
    <row r="22" spans="1:11" x14ac:dyDescent="0.25">
      <c r="A22" s="3" t="s">
        <v>0</v>
      </c>
      <c r="B22" s="3" t="s">
        <v>158</v>
      </c>
      <c r="C22" s="3">
        <v>15471</v>
      </c>
      <c r="D22" s="3">
        <f>C22-C21</f>
        <v>335</v>
      </c>
      <c r="H22" s="3" t="s">
        <v>151</v>
      </c>
      <c r="I22" s="3" t="s">
        <v>160</v>
      </c>
      <c r="J22" s="3">
        <v>32667695</v>
      </c>
      <c r="K22" s="3">
        <f t="shared" si="0"/>
        <v>859</v>
      </c>
    </row>
    <row r="23" spans="1:11" ht="15.75" thickBot="1" x14ac:dyDescent="0.3">
      <c r="A23" s="4" t="s">
        <v>77</v>
      </c>
      <c r="B23" s="4" t="s">
        <v>158</v>
      </c>
      <c r="C23" s="4">
        <v>9128946</v>
      </c>
      <c r="D23" s="4">
        <f>C23-C22</f>
        <v>9113475</v>
      </c>
      <c r="H23" s="3" t="s">
        <v>133</v>
      </c>
      <c r="I23" s="3" t="s">
        <v>160</v>
      </c>
      <c r="J23" s="3">
        <v>32668125</v>
      </c>
      <c r="K23" s="3">
        <f t="shared" si="0"/>
        <v>430</v>
      </c>
    </row>
    <row r="24" spans="1:11" ht="15.75" thickTop="1" x14ac:dyDescent="0.25">
      <c r="A24" s="5" t="s">
        <v>54</v>
      </c>
      <c r="B24" s="5" t="s">
        <v>159</v>
      </c>
      <c r="C24" s="5">
        <v>1306</v>
      </c>
      <c r="D24" s="5"/>
      <c r="H24" s="3" t="s">
        <v>150</v>
      </c>
      <c r="I24" s="3" t="s">
        <v>160</v>
      </c>
      <c r="J24" s="3">
        <v>32668366</v>
      </c>
      <c r="K24" s="3">
        <f t="shared" si="0"/>
        <v>241</v>
      </c>
    </row>
    <row r="25" spans="1:11" ht="15.75" thickBot="1" x14ac:dyDescent="0.3">
      <c r="A25" s="4" t="s">
        <v>74</v>
      </c>
      <c r="B25" s="4" t="s">
        <v>159</v>
      </c>
      <c r="C25" s="4">
        <v>11751</v>
      </c>
      <c r="D25" s="4">
        <f>C25-C24</f>
        <v>10445</v>
      </c>
      <c r="H25" s="3" t="s">
        <v>136</v>
      </c>
      <c r="I25" s="3" t="s">
        <v>160</v>
      </c>
      <c r="J25" s="3">
        <v>32668795</v>
      </c>
      <c r="K25" s="3">
        <f t="shared" si="0"/>
        <v>429</v>
      </c>
    </row>
    <row r="26" spans="1:11" ht="15.75" thickTop="1" x14ac:dyDescent="0.25">
      <c r="A26" s="5" t="s">
        <v>3</v>
      </c>
      <c r="B26" s="5" t="s">
        <v>160</v>
      </c>
      <c r="C26" s="5">
        <v>32663340</v>
      </c>
      <c r="D26" s="5">
        <f>C26-C25</f>
        <v>32651589</v>
      </c>
      <c r="H26" s="3" t="s">
        <v>70</v>
      </c>
      <c r="I26" s="3" t="s">
        <v>160</v>
      </c>
      <c r="J26" s="3">
        <v>32669799</v>
      </c>
      <c r="K26" s="3">
        <f t="shared" si="0"/>
        <v>1004</v>
      </c>
    </row>
    <row r="27" spans="1:11" x14ac:dyDescent="0.25">
      <c r="A27" s="3" t="s">
        <v>18</v>
      </c>
      <c r="B27" s="3" t="s">
        <v>160</v>
      </c>
      <c r="C27" s="3">
        <v>32663347</v>
      </c>
      <c r="D27" s="3">
        <f>C27-C26</f>
        <v>7</v>
      </c>
      <c r="H27" s="3" t="s">
        <v>2</v>
      </c>
      <c r="I27" s="3" t="s">
        <v>160</v>
      </c>
      <c r="J27" s="3">
        <v>32669800</v>
      </c>
      <c r="K27" s="3">
        <f t="shared" si="0"/>
        <v>1</v>
      </c>
    </row>
    <row r="28" spans="1:11" x14ac:dyDescent="0.25">
      <c r="A28" s="3" t="s">
        <v>57</v>
      </c>
      <c r="B28" s="3" t="s">
        <v>160</v>
      </c>
      <c r="C28" s="3">
        <v>32664060</v>
      </c>
      <c r="D28" s="3">
        <f>C28-C27</f>
        <v>713</v>
      </c>
      <c r="H28" s="3" t="s">
        <v>108</v>
      </c>
      <c r="I28" s="3" t="s">
        <v>160</v>
      </c>
      <c r="J28" s="3">
        <v>32670710</v>
      </c>
      <c r="K28" s="3">
        <f t="shared" si="0"/>
        <v>910</v>
      </c>
    </row>
    <row r="29" spans="1:11" ht="15.75" thickBot="1" x14ac:dyDescent="0.3">
      <c r="A29" s="3" t="s">
        <v>11</v>
      </c>
      <c r="B29" s="3" t="s">
        <v>160</v>
      </c>
      <c r="C29" s="3">
        <v>32666785</v>
      </c>
      <c r="D29" s="3">
        <f>C29-C28</f>
        <v>2725</v>
      </c>
      <c r="H29" s="4" t="s">
        <v>131</v>
      </c>
      <c r="I29" s="4" t="s">
        <v>160</v>
      </c>
      <c r="J29" s="4">
        <v>32673649</v>
      </c>
      <c r="K29" s="4">
        <f t="shared" si="0"/>
        <v>2939</v>
      </c>
    </row>
    <row r="30" spans="1:11" ht="15.75" thickTop="1" x14ac:dyDescent="0.25">
      <c r="A30" s="3" t="s">
        <v>36</v>
      </c>
      <c r="B30" s="3" t="s">
        <v>160</v>
      </c>
      <c r="C30" s="3">
        <v>32668700</v>
      </c>
      <c r="D30" s="3">
        <f>C30-C29</f>
        <v>1915</v>
      </c>
      <c r="H30" s="5" t="s">
        <v>117</v>
      </c>
      <c r="I30" s="5" t="s">
        <v>161</v>
      </c>
      <c r="J30" s="5">
        <v>24555900</v>
      </c>
      <c r="K30" s="5"/>
    </row>
    <row r="31" spans="1:11" x14ac:dyDescent="0.25">
      <c r="A31" s="3" t="s">
        <v>92</v>
      </c>
      <c r="B31" s="3" t="s">
        <v>160</v>
      </c>
      <c r="C31" s="3">
        <v>32669737</v>
      </c>
      <c r="D31" s="3">
        <f>C31-C30</f>
        <v>1037</v>
      </c>
      <c r="H31" s="3" t="s">
        <v>129</v>
      </c>
      <c r="I31" s="3" t="s">
        <v>161</v>
      </c>
      <c r="J31" s="3">
        <v>30740795</v>
      </c>
      <c r="K31" s="3">
        <f t="shared" si="0"/>
        <v>6184895</v>
      </c>
    </row>
    <row r="32" spans="1:11" x14ac:dyDescent="0.25">
      <c r="A32" s="3" t="s">
        <v>70</v>
      </c>
      <c r="B32" s="3" t="s">
        <v>160</v>
      </c>
      <c r="C32" s="3">
        <v>32669799</v>
      </c>
      <c r="D32" s="3">
        <f>C32-C31</f>
        <v>62</v>
      </c>
      <c r="H32" s="3" t="s">
        <v>132</v>
      </c>
      <c r="I32" s="3" t="s">
        <v>161</v>
      </c>
      <c r="J32" s="3">
        <v>30744502</v>
      </c>
      <c r="K32" s="3">
        <f t="shared" si="0"/>
        <v>3707</v>
      </c>
    </row>
    <row r="33" spans="1:11" x14ac:dyDescent="0.25">
      <c r="A33" s="3" t="s">
        <v>2</v>
      </c>
      <c r="B33" s="3" t="s">
        <v>160</v>
      </c>
      <c r="C33" s="3">
        <v>32669800</v>
      </c>
      <c r="D33" s="3">
        <f>C33-C32</f>
        <v>1</v>
      </c>
      <c r="H33" s="3" t="s">
        <v>29</v>
      </c>
      <c r="I33" s="3" t="s">
        <v>161</v>
      </c>
      <c r="J33" s="3">
        <v>30745806</v>
      </c>
      <c r="K33" s="3">
        <f t="shared" si="0"/>
        <v>1304</v>
      </c>
    </row>
    <row r="34" spans="1:11" x14ac:dyDescent="0.25">
      <c r="A34" s="3" t="s">
        <v>62</v>
      </c>
      <c r="B34" s="3" t="s">
        <v>160</v>
      </c>
      <c r="C34" s="3">
        <v>32671095</v>
      </c>
      <c r="D34" s="3">
        <f>C34-C33</f>
        <v>1295</v>
      </c>
      <c r="H34" s="3" t="s">
        <v>112</v>
      </c>
      <c r="I34" s="3" t="s">
        <v>161</v>
      </c>
      <c r="J34" s="3">
        <v>30747359</v>
      </c>
      <c r="K34" s="3">
        <f t="shared" si="0"/>
        <v>1553</v>
      </c>
    </row>
    <row r="35" spans="1:11" x14ac:dyDescent="0.25">
      <c r="A35" s="3" t="s">
        <v>60</v>
      </c>
      <c r="B35" s="3" t="s">
        <v>160</v>
      </c>
      <c r="C35" s="3">
        <v>32672745</v>
      </c>
      <c r="D35" s="3">
        <f>C35-C34</f>
        <v>1650</v>
      </c>
      <c r="H35" s="3" t="s">
        <v>119</v>
      </c>
      <c r="I35" s="3" t="s">
        <v>161</v>
      </c>
      <c r="J35" s="3">
        <v>30748169</v>
      </c>
      <c r="K35" s="3">
        <f t="shared" si="0"/>
        <v>810</v>
      </c>
    </row>
    <row r="36" spans="1:11" ht="15.75" thickBot="1" x14ac:dyDescent="0.3">
      <c r="A36" s="4" t="s">
        <v>16</v>
      </c>
      <c r="B36" s="4" t="s">
        <v>160</v>
      </c>
      <c r="C36" s="4">
        <v>32673737</v>
      </c>
      <c r="D36" s="4">
        <f>C36-C35</f>
        <v>992</v>
      </c>
      <c r="H36" s="3" t="s">
        <v>120</v>
      </c>
      <c r="I36" s="3" t="s">
        <v>161</v>
      </c>
      <c r="J36" s="3">
        <v>30748605</v>
      </c>
      <c r="K36" s="3">
        <f t="shared" si="0"/>
        <v>436</v>
      </c>
    </row>
    <row r="37" spans="1:11" ht="15.75" thickTop="1" x14ac:dyDescent="0.25">
      <c r="A37" s="5" t="s">
        <v>15</v>
      </c>
      <c r="B37" s="5" t="s">
        <v>161</v>
      </c>
      <c r="C37" s="5">
        <v>30744495</v>
      </c>
      <c r="D37" s="5"/>
      <c r="H37" s="3" t="s">
        <v>148</v>
      </c>
      <c r="I37" s="3" t="s">
        <v>161</v>
      </c>
      <c r="J37" s="3">
        <v>30748991</v>
      </c>
      <c r="K37" s="3">
        <f t="shared" si="0"/>
        <v>386</v>
      </c>
    </row>
    <row r="38" spans="1:11" x14ac:dyDescent="0.25">
      <c r="A38" s="3" t="s">
        <v>7</v>
      </c>
      <c r="B38" s="3" t="s">
        <v>161</v>
      </c>
      <c r="C38" s="3">
        <v>30745713</v>
      </c>
      <c r="D38" s="3">
        <f>C38-C37</f>
        <v>1218</v>
      </c>
      <c r="H38" s="3" t="s">
        <v>152</v>
      </c>
      <c r="I38" s="3" t="s">
        <v>161</v>
      </c>
      <c r="J38" s="3">
        <v>30750514</v>
      </c>
      <c r="K38" s="3">
        <f t="shared" si="0"/>
        <v>1523</v>
      </c>
    </row>
    <row r="39" spans="1:11" x14ac:dyDescent="0.25">
      <c r="A39" s="3" t="s">
        <v>29</v>
      </c>
      <c r="B39" s="3" t="s">
        <v>161</v>
      </c>
      <c r="C39" s="3">
        <v>30745806</v>
      </c>
      <c r="D39" s="3">
        <f>C39-C38</f>
        <v>93</v>
      </c>
      <c r="H39" s="3" t="s">
        <v>106</v>
      </c>
      <c r="I39" s="3" t="s">
        <v>161</v>
      </c>
      <c r="J39" s="3">
        <v>30750614</v>
      </c>
      <c r="K39" s="3">
        <f t="shared" si="0"/>
        <v>100</v>
      </c>
    </row>
    <row r="40" spans="1:11" x14ac:dyDescent="0.25">
      <c r="A40" s="3" t="s">
        <v>10</v>
      </c>
      <c r="B40" s="3" t="s">
        <v>161</v>
      </c>
      <c r="C40" s="3">
        <v>30745807</v>
      </c>
      <c r="D40" s="3">
        <f>C40-C39</f>
        <v>1</v>
      </c>
      <c r="H40" s="3" t="s">
        <v>103</v>
      </c>
      <c r="I40" s="3" t="s">
        <v>161</v>
      </c>
      <c r="J40" s="3">
        <v>30751619</v>
      </c>
      <c r="K40" s="3">
        <f t="shared" si="0"/>
        <v>1005</v>
      </c>
    </row>
    <row r="41" spans="1:11" ht="15.75" thickBot="1" x14ac:dyDescent="0.3">
      <c r="A41" s="3" t="s">
        <v>82</v>
      </c>
      <c r="B41" s="3" t="s">
        <v>161</v>
      </c>
      <c r="C41" s="3">
        <v>30747622</v>
      </c>
      <c r="D41" s="3">
        <f>C41-C40</f>
        <v>1815</v>
      </c>
      <c r="H41" s="4" t="s">
        <v>126</v>
      </c>
      <c r="I41" s="4" t="s">
        <v>161</v>
      </c>
      <c r="J41" s="4">
        <v>30751668</v>
      </c>
      <c r="K41" s="4">
        <f t="shared" si="0"/>
        <v>49</v>
      </c>
    </row>
    <row r="42" spans="1:11" ht="16.5" thickTop="1" thickBot="1" x14ac:dyDescent="0.3">
      <c r="A42" s="3" t="s">
        <v>93</v>
      </c>
      <c r="B42" s="3" t="s">
        <v>161</v>
      </c>
      <c r="C42" s="3">
        <v>30749276</v>
      </c>
      <c r="D42" s="3">
        <f>C42-C41</f>
        <v>1654</v>
      </c>
      <c r="H42" s="6" t="s">
        <v>130</v>
      </c>
      <c r="I42" s="6" t="s">
        <v>162</v>
      </c>
      <c r="J42" s="6">
        <v>604941</v>
      </c>
      <c r="K42" s="6"/>
    </row>
    <row r="43" spans="1:11" ht="15.75" thickTop="1" x14ac:dyDescent="0.25">
      <c r="A43" s="3" t="s">
        <v>39</v>
      </c>
      <c r="B43" s="3" t="s">
        <v>161</v>
      </c>
      <c r="C43" s="3">
        <v>30749282</v>
      </c>
      <c r="D43" s="3">
        <f>C43-C42</f>
        <v>6</v>
      </c>
      <c r="H43" s="5" t="s">
        <v>146</v>
      </c>
      <c r="I43" s="5" t="s">
        <v>163</v>
      </c>
      <c r="J43" s="5">
        <v>29159906</v>
      </c>
      <c r="K43" s="5"/>
    </row>
    <row r="44" spans="1:11" ht="15.75" thickBot="1" x14ac:dyDescent="0.3">
      <c r="A44" s="4" t="s">
        <v>63</v>
      </c>
      <c r="B44" s="4" t="s">
        <v>161</v>
      </c>
      <c r="C44" s="4">
        <v>30750956</v>
      </c>
      <c r="D44" s="4">
        <f>C44-C43</f>
        <v>1674</v>
      </c>
      <c r="H44" s="3" t="s">
        <v>149</v>
      </c>
      <c r="I44" s="3" t="s">
        <v>163</v>
      </c>
      <c r="J44" s="3">
        <v>29160008</v>
      </c>
      <c r="K44" s="3">
        <f t="shared" si="0"/>
        <v>102</v>
      </c>
    </row>
    <row r="45" spans="1:11" ht="16.5" thickTop="1" thickBot="1" x14ac:dyDescent="0.3">
      <c r="A45" s="5" t="s">
        <v>94</v>
      </c>
      <c r="B45" s="5" t="s">
        <v>163</v>
      </c>
      <c r="C45" s="5">
        <v>29162690</v>
      </c>
      <c r="D45" s="5"/>
      <c r="H45" s="4" t="s">
        <v>121</v>
      </c>
      <c r="I45" s="4" t="s">
        <v>163</v>
      </c>
      <c r="J45" s="4">
        <v>29170063</v>
      </c>
      <c r="K45" s="4">
        <f t="shared" si="0"/>
        <v>10055</v>
      </c>
    </row>
    <row r="46" spans="1:11" ht="15.75" thickTop="1" x14ac:dyDescent="0.25">
      <c r="A46" s="3" t="s">
        <v>76</v>
      </c>
      <c r="B46" s="3" t="s">
        <v>163</v>
      </c>
      <c r="C46" s="3">
        <v>29165763</v>
      </c>
      <c r="D46" s="3">
        <f>C46-C45</f>
        <v>3073</v>
      </c>
      <c r="H46" s="5" t="s">
        <v>144</v>
      </c>
      <c r="I46" s="5" t="s">
        <v>164</v>
      </c>
      <c r="J46" s="5">
        <v>22177668</v>
      </c>
      <c r="K46" s="5"/>
    </row>
    <row r="47" spans="1:11" ht="15.75" thickBot="1" x14ac:dyDescent="0.3">
      <c r="A47" s="4" t="s">
        <v>8</v>
      </c>
      <c r="B47" s="4" t="s">
        <v>163</v>
      </c>
      <c r="C47" s="4">
        <v>29166056</v>
      </c>
      <c r="D47" s="4">
        <f>C47-C46</f>
        <v>293</v>
      </c>
      <c r="H47" s="4" t="s">
        <v>110</v>
      </c>
      <c r="I47" s="4" t="s">
        <v>164</v>
      </c>
      <c r="J47" s="4">
        <v>22201614</v>
      </c>
      <c r="K47" s="4">
        <f t="shared" si="0"/>
        <v>23946</v>
      </c>
    </row>
    <row r="48" spans="1:11" ht="16.5" thickTop="1" thickBot="1" x14ac:dyDescent="0.3">
      <c r="A48" s="6" t="s">
        <v>80</v>
      </c>
      <c r="B48" s="6" t="s">
        <v>164</v>
      </c>
      <c r="C48" s="6">
        <v>22178599</v>
      </c>
      <c r="D48" s="6"/>
      <c r="H48" s="6" t="s">
        <v>113</v>
      </c>
      <c r="I48" s="6" t="s">
        <v>165</v>
      </c>
      <c r="J48" s="6">
        <v>18713047</v>
      </c>
      <c r="K48" s="6"/>
    </row>
    <row r="49" spans="1:11" ht="15.75" thickTop="1" x14ac:dyDescent="0.25">
      <c r="A49" s="5" t="s">
        <v>13</v>
      </c>
      <c r="B49" s="5" t="s">
        <v>165</v>
      </c>
      <c r="C49" s="5">
        <v>21495116</v>
      </c>
      <c r="D49" s="5"/>
      <c r="H49" s="5" t="s">
        <v>141</v>
      </c>
      <c r="I49" s="5" t="s">
        <v>166</v>
      </c>
      <c r="J49" s="5">
        <v>2171775</v>
      </c>
      <c r="K49" s="5"/>
    </row>
    <row r="50" spans="1:11" x14ac:dyDescent="0.25">
      <c r="A50" s="3" t="s">
        <v>72</v>
      </c>
      <c r="B50" s="3" t="s">
        <v>165</v>
      </c>
      <c r="C50" s="3">
        <v>29031803</v>
      </c>
      <c r="D50" s="3">
        <f>C50-C49</f>
        <v>7536687</v>
      </c>
      <c r="H50" s="3" t="s">
        <v>137</v>
      </c>
      <c r="I50" s="3" t="s">
        <v>166</v>
      </c>
      <c r="J50" s="3">
        <v>2171813</v>
      </c>
      <c r="K50" s="3">
        <f t="shared" si="0"/>
        <v>38</v>
      </c>
    </row>
    <row r="51" spans="1:11" ht="15.75" thickBot="1" x14ac:dyDescent="0.3">
      <c r="A51" s="3" t="s">
        <v>58</v>
      </c>
      <c r="B51" s="3" t="s">
        <v>165</v>
      </c>
      <c r="C51" s="3">
        <v>29066999</v>
      </c>
      <c r="D51" s="3">
        <f>C51-C50</f>
        <v>35196</v>
      </c>
      <c r="H51" s="4" t="s">
        <v>9</v>
      </c>
      <c r="I51" s="4" t="s">
        <v>166</v>
      </c>
      <c r="J51" s="4">
        <v>24801420</v>
      </c>
      <c r="K51" s="4">
        <f t="shared" si="0"/>
        <v>22629607</v>
      </c>
    </row>
    <row r="52" spans="1:11" ht="15.75" thickTop="1" x14ac:dyDescent="0.25">
      <c r="A52" s="3" t="s">
        <v>32</v>
      </c>
      <c r="B52" s="3" t="s">
        <v>165</v>
      </c>
      <c r="C52" s="3">
        <v>29069872</v>
      </c>
      <c r="D52" s="3">
        <f>C52-C51</f>
        <v>2873</v>
      </c>
      <c r="H52" s="5" t="s">
        <v>116</v>
      </c>
      <c r="I52" s="5" t="s">
        <v>167</v>
      </c>
      <c r="J52" s="5">
        <v>910853</v>
      </c>
      <c r="K52" s="5"/>
    </row>
    <row r="53" spans="1:11" ht="15.75" thickBot="1" x14ac:dyDescent="0.3">
      <c r="A53" s="3" t="s">
        <v>96</v>
      </c>
      <c r="B53" s="3" t="s">
        <v>165</v>
      </c>
      <c r="C53" s="3">
        <v>29069978</v>
      </c>
      <c r="D53" s="3">
        <f>C53-C52</f>
        <v>106</v>
      </c>
      <c r="H53" s="4" t="s">
        <v>134</v>
      </c>
      <c r="I53" s="4" t="s">
        <v>167</v>
      </c>
      <c r="J53" s="4">
        <v>15412428</v>
      </c>
      <c r="K53" s="4">
        <f t="shared" si="0"/>
        <v>14501575</v>
      </c>
    </row>
    <row r="54" spans="1:11" ht="16.5" thickTop="1" thickBot="1" x14ac:dyDescent="0.3">
      <c r="A54" s="4" t="s">
        <v>1</v>
      </c>
      <c r="B54" s="4" t="s">
        <v>165</v>
      </c>
      <c r="C54" s="4">
        <v>29070020</v>
      </c>
      <c r="D54" s="4">
        <f>C54-C53</f>
        <v>42</v>
      </c>
      <c r="H54" s="6" t="s">
        <v>61</v>
      </c>
      <c r="I54" s="6" t="s">
        <v>168</v>
      </c>
      <c r="J54" s="6">
        <v>480431</v>
      </c>
      <c r="K54" s="6"/>
    </row>
    <row r="55" spans="1:11" ht="16.5" thickTop="1" thickBot="1" x14ac:dyDescent="0.3">
      <c r="A55" s="6" t="s">
        <v>9</v>
      </c>
      <c r="B55" s="6" t="s">
        <v>166</v>
      </c>
      <c r="C55" s="6">
        <v>24801420</v>
      </c>
      <c r="D55" s="6"/>
      <c r="H55" s="6" t="s">
        <v>105</v>
      </c>
      <c r="I55" s="6" t="s">
        <v>169</v>
      </c>
      <c r="J55" s="6">
        <v>16885311</v>
      </c>
      <c r="K55" s="6">
        <f t="shared" si="0"/>
        <v>16404880</v>
      </c>
    </row>
    <row r="56" spans="1:11" ht="15.75" thickTop="1" x14ac:dyDescent="0.25">
      <c r="A56" s="5" t="s">
        <v>34</v>
      </c>
      <c r="B56" s="5" t="s">
        <v>167</v>
      </c>
      <c r="C56" s="5">
        <v>906817</v>
      </c>
      <c r="D56" s="5"/>
      <c r="H56" s="5" t="s">
        <v>123</v>
      </c>
      <c r="I56" s="5" t="s">
        <v>170</v>
      </c>
      <c r="J56" s="5">
        <v>1363</v>
      </c>
      <c r="K56" s="5"/>
    </row>
    <row r="57" spans="1:11" x14ac:dyDescent="0.25">
      <c r="A57" s="3" t="s">
        <v>28</v>
      </c>
      <c r="B57" s="3" t="s">
        <v>167</v>
      </c>
      <c r="C57" s="3">
        <v>906821</v>
      </c>
      <c r="D57" s="3">
        <f>C57-C56</f>
        <v>4</v>
      </c>
      <c r="H57" s="3" t="s">
        <v>111</v>
      </c>
      <c r="I57" s="3" t="s">
        <v>170</v>
      </c>
      <c r="J57" s="3">
        <v>1435</v>
      </c>
      <c r="K57" s="3">
        <f t="shared" si="0"/>
        <v>72</v>
      </c>
    </row>
    <row r="58" spans="1:11" x14ac:dyDescent="0.25">
      <c r="A58" s="3" t="s">
        <v>27</v>
      </c>
      <c r="B58" s="3" t="s">
        <v>167</v>
      </c>
      <c r="C58" s="3">
        <v>908834</v>
      </c>
      <c r="D58" s="3">
        <f>C58-C57</f>
        <v>2013</v>
      </c>
      <c r="H58" s="3" t="s">
        <v>102</v>
      </c>
      <c r="I58" s="3" t="s">
        <v>170</v>
      </c>
      <c r="J58" s="3">
        <v>1470</v>
      </c>
      <c r="K58" s="3">
        <f t="shared" si="0"/>
        <v>35</v>
      </c>
    </row>
    <row r="59" spans="1:11" ht="15.75" thickBot="1" x14ac:dyDescent="0.3">
      <c r="A59" s="3" t="s">
        <v>51</v>
      </c>
      <c r="B59" s="3" t="s">
        <v>167</v>
      </c>
      <c r="C59" s="3">
        <v>912498</v>
      </c>
      <c r="D59" s="3">
        <f>C59-C58</f>
        <v>3664</v>
      </c>
      <c r="H59" s="4" t="s">
        <v>118</v>
      </c>
      <c r="I59" s="4" t="s">
        <v>170</v>
      </c>
      <c r="J59" s="4">
        <v>1540</v>
      </c>
      <c r="K59" s="4">
        <f t="shared" si="0"/>
        <v>70</v>
      </c>
    </row>
    <row r="60" spans="1:11" ht="15.75" thickTop="1" x14ac:dyDescent="0.25">
      <c r="A60" s="3" t="s">
        <v>85</v>
      </c>
      <c r="B60" s="3" t="s">
        <v>167</v>
      </c>
      <c r="C60" s="3">
        <v>912711</v>
      </c>
      <c r="D60" s="3">
        <f>C60-C59</f>
        <v>213</v>
      </c>
      <c r="H60" s="5" t="s">
        <v>156</v>
      </c>
      <c r="I60" s="5" t="s">
        <v>171</v>
      </c>
      <c r="J60" s="5">
        <v>26288943</v>
      </c>
      <c r="K60" s="5"/>
    </row>
    <row r="61" spans="1:11" x14ac:dyDescent="0.25">
      <c r="A61" s="3" t="s">
        <v>81</v>
      </c>
      <c r="B61" s="3" t="s">
        <v>167</v>
      </c>
      <c r="C61" s="3">
        <v>15408994</v>
      </c>
      <c r="D61" s="3">
        <f>C61-C60</f>
        <v>14496283</v>
      </c>
      <c r="H61" s="3" t="s">
        <v>101</v>
      </c>
      <c r="I61" s="3" t="s">
        <v>171</v>
      </c>
      <c r="J61" s="3">
        <v>26293714</v>
      </c>
      <c r="K61" s="3">
        <f t="shared" si="0"/>
        <v>4771</v>
      </c>
    </row>
    <row r="62" spans="1:11" x14ac:dyDescent="0.25">
      <c r="A62" s="3" t="s">
        <v>78</v>
      </c>
      <c r="B62" s="3" t="s">
        <v>167</v>
      </c>
      <c r="C62" s="3">
        <v>15411811</v>
      </c>
      <c r="D62" s="3">
        <f>C62-C61</f>
        <v>2817</v>
      </c>
      <c r="H62" s="3" t="s">
        <v>101</v>
      </c>
      <c r="I62" s="3" t="s">
        <v>171</v>
      </c>
      <c r="J62" s="3">
        <v>26293714</v>
      </c>
      <c r="K62" s="3">
        <f t="shared" si="0"/>
        <v>0</v>
      </c>
    </row>
    <row r="63" spans="1:11" ht="15.75" thickBot="1" x14ac:dyDescent="0.3">
      <c r="A63" s="4" t="s">
        <v>69</v>
      </c>
      <c r="B63" s="4" t="s">
        <v>167</v>
      </c>
      <c r="C63" s="4">
        <v>15411905</v>
      </c>
      <c r="D63" s="4">
        <f>C63-C62</f>
        <v>94</v>
      </c>
      <c r="H63" s="3" t="s">
        <v>114</v>
      </c>
      <c r="I63" s="3" t="s">
        <v>171</v>
      </c>
      <c r="J63" s="3">
        <v>26293982</v>
      </c>
      <c r="K63" s="3">
        <f t="shared" si="0"/>
        <v>268</v>
      </c>
    </row>
    <row r="64" spans="1:11" ht="16.5" thickTop="1" thickBot="1" x14ac:dyDescent="0.3">
      <c r="A64" s="6" t="s">
        <v>21</v>
      </c>
      <c r="B64" s="6" t="s">
        <v>175</v>
      </c>
      <c r="C64" s="6">
        <v>11015458</v>
      </c>
      <c r="D64" s="6"/>
      <c r="H64" s="3" t="s">
        <v>115</v>
      </c>
      <c r="I64" s="3" t="s">
        <v>171</v>
      </c>
      <c r="J64" s="3">
        <v>26294006</v>
      </c>
      <c r="K64" s="3">
        <f t="shared" si="0"/>
        <v>24</v>
      </c>
    </row>
    <row r="65" spans="1:11" ht="16.5" thickTop="1" thickBot="1" x14ac:dyDescent="0.3">
      <c r="A65" s="6" t="s">
        <v>61</v>
      </c>
      <c r="B65" s="6" t="s">
        <v>168</v>
      </c>
      <c r="C65" s="6">
        <v>480431</v>
      </c>
      <c r="D65" s="6"/>
      <c r="H65" s="3" t="s">
        <v>139</v>
      </c>
      <c r="I65" s="3" t="s">
        <v>171</v>
      </c>
      <c r="J65" s="3">
        <v>26300378</v>
      </c>
      <c r="K65" s="3">
        <f t="shared" si="0"/>
        <v>6372</v>
      </c>
    </row>
    <row r="66" spans="1:11" ht="15.75" thickTop="1" x14ac:dyDescent="0.25">
      <c r="A66" s="5" t="s">
        <v>89</v>
      </c>
      <c r="B66" s="5" t="s">
        <v>176</v>
      </c>
      <c r="C66" s="5">
        <v>2287136</v>
      </c>
      <c r="D66" s="5"/>
      <c r="H66" s="3" t="s">
        <v>104</v>
      </c>
      <c r="I66" s="3" t="s">
        <v>171</v>
      </c>
      <c r="J66" s="3">
        <v>26303009</v>
      </c>
      <c r="K66" s="3">
        <f t="shared" si="0"/>
        <v>2631</v>
      </c>
    </row>
    <row r="67" spans="1:11" x14ac:dyDescent="0.25">
      <c r="A67" s="3" t="s">
        <v>55</v>
      </c>
      <c r="B67" s="3" t="s">
        <v>176</v>
      </c>
      <c r="C67" s="3">
        <v>15408463</v>
      </c>
      <c r="D67" s="3">
        <f>C67-C66</f>
        <v>13121327</v>
      </c>
      <c r="H67" s="3" t="s">
        <v>125</v>
      </c>
      <c r="I67" s="3" t="s">
        <v>171</v>
      </c>
      <c r="J67" s="3">
        <v>26305253</v>
      </c>
      <c r="K67" s="3">
        <f t="shared" si="0"/>
        <v>2244</v>
      </c>
    </row>
    <row r="68" spans="1:11" x14ac:dyDescent="0.25">
      <c r="A68" s="3" t="s">
        <v>45</v>
      </c>
      <c r="B68" s="3" t="s">
        <v>176</v>
      </c>
      <c r="C68" s="3">
        <v>15409738</v>
      </c>
      <c r="D68" s="3">
        <f>C68-C67</f>
        <v>1275</v>
      </c>
      <c r="H68" s="3" t="s">
        <v>47</v>
      </c>
      <c r="I68" s="3" t="s">
        <v>171</v>
      </c>
      <c r="J68" s="3">
        <v>26305360</v>
      </c>
      <c r="K68" s="3">
        <f t="shared" ref="K68:K78" si="1">J68-J67</f>
        <v>107</v>
      </c>
    </row>
    <row r="69" spans="1:11" x14ac:dyDescent="0.25">
      <c r="A69" s="3" t="s">
        <v>40</v>
      </c>
      <c r="B69" s="3" t="s">
        <v>176</v>
      </c>
      <c r="C69" s="3">
        <v>25040373</v>
      </c>
      <c r="D69" s="3">
        <f>C69-C68</f>
        <v>9630635</v>
      </c>
      <c r="H69" s="3" t="s">
        <v>25</v>
      </c>
      <c r="I69" s="3" t="s">
        <v>171</v>
      </c>
      <c r="J69" s="3">
        <v>26307361</v>
      </c>
      <c r="K69" s="3">
        <f t="shared" si="1"/>
        <v>2001</v>
      </c>
    </row>
    <row r="70" spans="1:11" ht="15.75" thickBot="1" x14ac:dyDescent="0.3">
      <c r="A70" s="3" t="s">
        <v>90</v>
      </c>
      <c r="B70" s="3" t="s">
        <v>176</v>
      </c>
      <c r="C70" s="3">
        <v>25040474</v>
      </c>
      <c r="D70" s="3">
        <f>C70-C69</f>
        <v>101</v>
      </c>
      <c r="H70" s="4" t="s">
        <v>109</v>
      </c>
      <c r="I70" s="4" t="s">
        <v>171</v>
      </c>
      <c r="J70" s="4">
        <v>26308364</v>
      </c>
      <c r="K70" s="4">
        <f t="shared" si="1"/>
        <v>1003</v>
      </c>
    </row>
    <row r="71" spans="1:11" ht="16.5" thickTop="1" thickBot="1" x14ac:dyDescent="0.3">
      <c r="A71" s="4" t="s">
        <v>86</v>
      </c>
      <c r="B71" s="4" t="s">
        <v>176</v>
      </c>
      <c r="C71" s="4">
        <v>25040623</v>
      </c>
      <c r="D71" s="4">
        <f>C71-C70</f>
        <v>149</v>
      </c>
      <c r="H71" s="5" t="s">
        <v>143</v>
      </c>
      <c r="I71" s="5" t="s">
        <v>172</v>
      </c>
      <c r="J71" s="5">
        <v>21422892</v>
      </c>
      <c r="K71" s="5"/>
    </row>
    <row r="72" spans="1:11" ht="15.75" thickTop="1" x14ac:dyDescent="0.25">
      <c r="A72" s="5" t="s">
        <v>17</v>
      </c>
      <c r="B72" s="5" t="s">
        <v>171</v>
      </c>
      <c r="C72" s="5">
        <v>24804623</v>
      </c>
      <c r="D72" s="5"/>
      <c r="H72" s="3" t="s">
        <v>64</v>
      </c>
      <c r="I72" s="3" t="s">
        <v>172</v>
      </c>
      <c r="J72" s="3">
        <v>21423903</v>
      </c>
      <c r="K72" s="3">
        <f t="shared" si="1"/>
        <v>1011</v>
      </c>
    </row>
    <row r="73" spans="1:11" x14ac:dyDescent="0.25">
      <c r="A73" s="3" t="s">
        <v>79</v>
      </c>
      <c r="B73" s="3" t="s">
        <v>171</v>
      </c>
      <c r="C73" s="3">
        <v>24835778</v>
      </c>
      <c r="D73" s="3">
        <f>C73-C72</f>
        <v>31155</v>
      </c>
      <c r="H73" s="3" t="s">
        <v>135</v>
      </c>
      <c r="I73" s="3" t="s">
        <v>172</v>
      </c>
      <c r="J73" s="3">
        <v>21425138</v>
      </c>
      <c r="K73" s="3">
        <f t="shared" si="1"/>
        <v>1235</v>
      </c>
    </row>
    <row r="74" spans="1:11" x14ac:dyDescent="0.25">
      <c r="A74" s="3" t="s">
        <v>43</v>
      </c>
      <c r="B74" s="3" t="s">
        <v>171</v>
      </c>
      <c r="C74" s="3">
        <v>24895667</v>
      </c>
      <c r="D74" s="3">
        <f>C74-C73</f>
        <v>59889</v>
      </c>
      <c r="H74" s="3" t="s">
        <v>56</v>
      </c>
      <c r="I74" s="3" t="s">
        <v>172</v>
      </c>
      <c r="J74" s="3">
        <v>21427009</v>
      </c>
      <c r="K74" s="3">
        <f t="shared" si="1"/>
        <v>1871</v>
      </c>
    </row>
    <row r="75" spans="1:11" x14ac:dyDescent="0.25">
      <c r="A75" s="3" t="s">
        <v>87</v>
      </c>
      <c r="B75" s="3" t="s">
        <v>171</v>
      </c>
      <c r="C75" s="3">
        <v>26289238</v>
      </c>
      <c r="D75" s="3">
        <f>C75-C74</f>
        <v>1393571</v>
      </c>
      <c r="H75" s="3" t="s">
        <v>138</v>
      </c>
      <c r="I75" s="3" t="s">
        <v>172</v>
      </c>
      <c r="J75" s="3">
        <v>21428354</v>
      </c>
      <c r="K75" s="3">
        <f t="shared" si="1"/>
        <v>1345</v>
      </c>
    </row>
    <row r="76" spans="1:11" x14ac:dyDescent="0.25">
      <c r="A76" s="3" t="s">
        <v>41</v>
      </c>
      <c r="B76" s="3" t="s">
        <v>171</v>
      </c>
      <c r="C76" s="3">
        <v>26290161</v>
      </c>
      <c r="D76" s="3">
        <f>C76-C75</f>
        <v>923</v>
      </c>
      <c r="H76" s="3" t="s">
        <v>19</v>
      </c>
      <c r="I76" s="3" t="s">
        <v>172</v>
      </c>
      <c r="J76" s="3">
        <v>21430655</v>
      </c>
      <c r="K76" s="3">
        <f t="shared" si="1"/>
        <v>2301</v>
      </c>
    </row>
    <row r="77" spans="1:11" x14ac:dyDescent="0.25">
      <c r="A77" s="3" t="s">
        <v>35</v>
      </c>
      <c r="B77" s="3" t="s">
        <v>171</v>
      </c>
      <c r="C77" s="3">
        <v>26290162</v>
      </c>
      <c r="D77" s="3">
        <f>C77-C76</f>
        <v>1</v>
      </c>
      <c r="H77" s="3" t="s">
        <v>107</v>
      </c>
      <c r="I77" s="3" t="s">
        <v>172</v>
      </c>
      <c r="J77" s="3">
        <v>21431948</v>
      </c>
      <c r="K77" s="3">
        <f t="shared" si="1"/>
        <v>1293</v>
      </c>
    </row>
    <row r="78" spans="1:11" ht="15.75" thickBot="1" x14ac:dyDescent="0.3">
      <c r="A78" s="3" t="s">
        <v>95</v>
      </c>
      <c r="B78" s="3" t="s">
        <v>171</v>
      </c>
      <c r="C78" s="3">
        <v>26294605</v>
      </c>
      <c r="D78" s="3">
        <f>C78-C77</f>
        <v>4443</v>
      </c>
      <c r="H78" s="4" t="s">
        <v>66</v>
      </c>
      <c r="I78" s="4" t="s">
        <v>172</v>
      </c>
      <c r="J78" s="4">
        <v>21435055</v>
      </c>
      <c r="K78" s="4">
        <f t="shared" si="1"/>
        <v>3107</v>
      </c>
    </row>
    <row r="79" spans="1:11" ht="15.75" thickTop="1" x14ac:dyDescent="0.25">
      <c r="A79" s="3" t="s">
        <v>38</v>
      </c>
      <c r="B79" s="3" t="s">
        <v>171</v>
      </c>
      <c r="C79" s="3">
        <v>26299324</v>
      </c>
      <c r="D79" s="3">
        <f>C79-C78</f>
        <v>4719</v>
      </c>
    </row>
    <row r="80" spans="1:11" x14ac:dyDescent="0.25">
      <c r="A80" s="3" t="s">
        <v>75</v>
      </c>
      <c r="B80" s="3" t="s">
        <v>171</v>
      </c>
      <c r="C80" s="3">
        <v>26301048</v>
      </c>
      <c r="D80" s="3">
        <f>C80-C79</f>
        <v>1724</v>
      </c>
    </row>
    <row r="81" spans="1:4" x14ac:dyDescent="0.25">
      <c r="A81" s="3" t="s">
        <v>37</v>
      </c>
      <c r="B81" s="3" t="s">
        <v>171</v>
      </c>
      <c r="C81" s="3">
        <v>26303344</v>
      </c>
      <c r="D81" s="3">
        <f>C81-C80</f>
        <v>2296</v>
      </c>
    </row>
    <row r="82" spans="1:4" x14ac:dyDescent="0.25">
      <c r="A82" s="3" t="s">
        <v>52</v>
      </c>
      <c r="B82" s="3" t="s">
        <v>171</v>
      </c>
      <c r="C82" s="3">
        <v>26305026</v>
      </c>
      <c r="D82" s="3">
        <f>C82-C81</f>
        <v>1682</v>
      </c>
    </row>
    <row r="83" spans="1:4" x14ac:dyDescent="0.25">
      <c r="A83" s="3" t="s">
        <v>47</v>
      </c>
      <c r="B83" s="3" t="s">
        <v>171</v>
      </c>
      <c r="C83" s="3">
        <v>26305360</v>
      </c>
      <c r="D83" s="3">
        <f>C83-C82</f>
        <v>334</v>
      </c>
    </row>
    <row r="84" spans="1:4" x14ac:dyDescent="0.25">
      <c r="A84" s="3" t="s">
        <v>22</v>
      </c>
      <c r="B84" s="3" t="s">
        <v>171</v>
      </c>
      <c r="C84" s="3">
        <v>26306357</v>
      </c>
      <c r="D84" s="3">
        <f>C84-C83</f>
        <v>997</v>
      </c>
    </row>
    <row r="85" spans="1:4" x14ac:dyDescent="0.25">
      <c r="A85" s="3" t="s">
        <v>67</v>
      </c>
      <c r="B85" s="3" t="s">
        <v>171</v>
      </c>
      <c r="C85" s="3">
        <v>26306691</v>
      </c>
      <c r="D85" s="3">
        <f>C85-C84</f>
        <v>334</v>
      </c>
    </row>
    <row r="86" spans="1:4" x14ac:dyDescent="0.25">
      <c r="A86" s="3" t="s">
        <v>25</v>
      </c>
      <c r="B86" s="3" t="s">
        <v>171</v>
      </c>
      <c r="C86" s="3">
        <v>26307361</v>
      </c>
      <c r="D86" s="3">
        <f>C86-C85</f>
        <v>670</v>
      </c>
    </row>
    <row r="87" spans="1:4" x14ac:dyDescent="0.25">
      <c r="A87" s="3" t="s">
        <v>65</v>
      </c>
      <c r="B87" s="3" t="s">
        <v>171</v>
      </c>
      <c r="C87" s="3">
        <v>26309369</v>
      </c>
      <c r="D87" s="3">
        <f>C87-C86</f>
        <v>2008</v>
      </c>
    </row>
    <row r="88" spans="1:4" x14ac:dyDescent="0.25">
      <c r="A88" s="3" t="s">
        <v>46</v>
      </c>
      <c r="B88" s="3" t="s">
        <v>171</v>
      </c>
      <c r="C88" s="3">
        <v>26311042</v>
      </c>
      <c r="D88" s="3">
        <f>C88-C87</f>
        <v>1673</v>
      </c>
    </row>
    <row r="89" spans="1:4" ht="15.75" thickBot="1" x14ac:dyDescent="0.3">
      <c r="A89" s="4" t="s">
        <v>97</v>
      </c>
      <c r="B89" s="4" t="s">
        <v>171</v>
      </c>
      <c r="C89" s="4">
        <v>26311377</v>
      </c>
      <c r="D89" s="4">
        <f>C89-C88</f>
        <v>335</v>
      </c>
    </row>
    <row r="90" spans="1:4" ht="15.75" thickTop="1" x14ac:dyDescent="0.25">
      <c r="A90" s="5" t="s">
        <v>71</v>
      </c>
      <c r="B90" s="5" t="s">
        <v>172</v>
      </c>
      <c r="C90" s="5">
        <v>21421469</v>
      </c>
      <c r="D90" s="5"/>
    </row>
    <row r="91" spans="1:4" x14ac:dyDescent="0.25">
      <c r="A91" s="3" t="s">
        <v>64</v>
      </c>
      <c r="B91" s="3" t="s">
        <v>172</v>
      </c>
      <c r="C91" s="3">
        <v>21423903</v>
      </c>
      <c r="D91" s="3">
        <f>C91-C90</f>
        <v>2434</v>
      </c>
    </row>
    <row r="92" spans="1:4" x14ac:dyDescent="0.25">
      <c r="A92" s="3" t="s">
        <v>56</v>
      </c>
      <c r="B92" s="3" t="s">
        <v>172</v>
      </c>
      <c r="C92" s="3">
        <v>21427009</v>
      </c>
      <c r="D92" s="3">
        <f>C92-C91</f>
        <v>3106</v>
      </c>
    </row>
    <row r="93" spans="1:4" x14ac:dyDescent="0.25">
      <c r="A93" s="3" t="s">
        <v>19</v>
      </c>
      <c r="B93" s="3" t="s">
        <v>172</v>
      </c>
      <c r="C93" s="3">
        <v>21430655</v>
      </c>
      <c r="D93" s="3">
        <f>C93-C92</f>
        <v>3646</v>
      </c>
    </row>
    <row r="94" spans="1:4" x14ac:dyDescent="0.25">
      <c r="A94" s="3" t="s">
        <v>68</v>
      </c>
      <c r="B94" s="3" t="s">
        <v>172</v>
      </c>
      <c r="C94" s="3">
        <v>21431627</v>
      </c>
      <c r="D94" s="3">
        <f>C94-C93</f>
        <v>972</v>
      </c>
    </row>
    <row r="95" spans="1:4" x14ac:dyDescent="0.25">
      <c r="A95" s="3" t="s">
        <v>33</v>
      </c>
      <c r="B95" s="3" t="s">
        <v>172</v>
      </c>
      <c r="C95" s="3">
        <v>21434992</v>
      </c>
      <c r="D95" s="3">
        <f>C95-C94</f>
        <v>3365</v>
      </c>
    </row>
    <row r="96" spans="1:4" x14ac:dyDescent="0.25">
      <c r="A96" s="3" t="s">
        <v>23</v>
      </c>
      <c r="B96" s="3" t="s">
        <v>172</v>
      </c>
      <c r="C96" s="3">
        <v>21435010</v>
      </c>
      <c r="D96" s="3">
        <f>C96-C95</f>
        <v>18</v>
      </c>
    </row>
    <row r="97" spans="1:4" x14ac:dyDescent="0.25">
      <c r="A97" s="3" t="s">
        <v>42</v>
      </c>
      <c r="B97" s="3" t="s">
        <v>172</v>
      </c>
      <c r="C97" s="3">
        <v>21435011</v>
      </c>
      <c r="D97" s="3">
        <f>C97-C96</f>
        <v>1</v>
      </c>
    </row>
    <row r="98" spans="1:4" x14ac:dyDescent="0.25">
      <c r="A98" s="3" t="s">
        <v>66</v>
      </c>
      <c r="B98" s="3" t="s">
        <v>172</v>
      </c>
      <c r="C98" s="3">
        <v>21435055</v>
      </c>
      <c r="D98" s="3">
        <f>C98-C97</f>
        <v>44</v>
      </c>
    </row>
    <row r="99" spans="1:4" ht="15.75" thickBot="1" x14ac:dyDescent="0.3">
      <c r="A99" s="4" t="s">
        <v>44</v>
      </c>
      <c r="B99" s="4" t="s">
        <v>172</v>
      </c>
      <c r="C99" s="4">
        <v>21435056</v>
      </c>
      <c r="D99" s="4">
        <f>C99-C98</f>
        <v>1</v>
      </c>
    </row>
    <row r="100" spans="1:4" ht="15.75" thickTop="1" x14ac:dyDescent="0.25"/>
  </sheetData>
  <autoFilter ref="A1:C101" xr:uid="{D4A98AA5-C36D-4616-A278-DCCF74A42D31}">
    <sortState xmlns:xlrd2="http://schemas.microsoft.com/office/spreadsheetml/2017/richdata2" ref="A2:C101">
      <sortCondition ref="B2:B101"/>
      <sortCondition ref="C2:C101"/>
    </sortState>
  </autoFilter>
  <sortState xmlns:xlrd2="http://schemas.microsoft.com/office/spreadsheetml/2017/richdata2" ref="H2:J80">
    <sortCondition ref="I2:I80"/>
    <sortCondition ref="J2:J80"/>
  </sortState>
  <mergeCells count="1">
    <mergeCell ref="O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CpGList_LengthAge_Age4to15_1210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Ellie Weise</cp:lastModifiedBy>
  <dcterms:created xsi:type="dcterms:W3CDTF">2025-12-10T19:35:17Z</dcterms:created>
  <dcterms:modified xsi:type="dcterms:W3CDTF">2025-12-10T19:54:14Z</dcterms:modified>
</cp:coreProperties>
</file>